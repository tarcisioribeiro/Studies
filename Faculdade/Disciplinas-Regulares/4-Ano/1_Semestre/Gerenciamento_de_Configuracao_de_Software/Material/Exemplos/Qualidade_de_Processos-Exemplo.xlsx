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studos\Faculdade\Disciplinas-Regulares\4-Ano\Gerenciamento_de_Configuracao_de_Software\Material\Exemplos\"/>
    </mc:Choice>
  </mc:AlternateContent>
  <xr:revisionPtr revIDLastSave="0" documentId="8_{783E5AAA-89C7-43E8-BF67-FDC329CB8CEC}" xr6:coauthVersionLast="47" xr6:coauthVersionMax="47" xr10:uidLastSave="{00000000-0000-0000-0000-000000000000}"/>
  <bookViews>
    <workbookView xWindow="-108" yWindow="-108" windowWidth="23256" windowHeight="12576" xr2:uid="{A00A6513-9D3A-4DE9-B74B-1E26FA36DE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E16" i="1" s="1"/>
  <c r="J16" i="1"/>
  <c r="H16" i="1" s="1"/>
  <c r="M16" i="1"/>
  <c r="K16" i="1" s="1"/>
  <c r="P16" i="1"/>
  <c r="N16" i="1" s="1"/>
  <c r="D16" i="1"/>
  <c r="B16" i="1" s="1"/>
  <c r="G8" i="1"/>
  <c r="E8" i="1" s="1"/>
  <c r="J8" i="1"/>
  <c r="H8" i="1" s="1"/>
  <c r="M8" i="1"/>
  <c r="K8" i="1" s="1"/>
  <c r="P8" i="1"/>
  <c r="N8" i="1" s="1"/>
  <c r="D8" i="1"/>
  <c r="B8" i="1" s="1"/>
</calcChain>
</file>

<file path=xl/sharedStrings.xml><?xml version="1.0" encoding="utf-8"?>
<sst xmlns="http://schemas.openxmlformats.org/spreadsheetml/2006/main" count="337" uniqueCount="71">
  <si>
    <t>AGR.1 Aquisição</t>
  </si>
  <si>
    <t>AGR.2 Fornecimento</t>
  </si>
  <si>
    <t>AGR.3 Gerenciamento de mudança de contrato</t>
  </si>
  <si>
    <t>ORG.1 Gerenciamento de modelo de ciclo de vida</t>
  </si>
  <si>
    <t>ORG.2 Gerenciamento de infraestrutura</t>
  </si>
  <si>
    <t>ORG.3 Gerenciamento de portfólio de projeto</t>
  </si>
  <si>
    <t>ORG.4 Gerenciamento de recursos humanos</t>
  </si>
  <si>
    <t>ORG.5 Gerenciamento de qualidade</t>
  </si>
  <si>
    <t>ORG.6 Alinhamento organizacional</t>
  </si>
  <si>
    <t>ORG.7 Gerenciamento organizacional</t>
  </si>
  <si>
    <t>PRO.1 Planejamento de projeto</t>
  </si>
  <si>
    <t>PRO.2 Avaliação e controle de projeto</t>
  </si>
  <si>
    <t>PRO.3 Gerenciamento de decisão</t>
  </si>
  <si>
    <t>PRO.4 Gerenciamento de risco</t>
  </si>
  <si>
    <t>PRO.5 Gerenciamento de configuração</t>
  </si>
  <si>
    <t>PRO.6 Gerenciamento de informação</t>
  </si>
  <si>
    <t>PRO.7 Medição</t>
  </si>
  <si>
    <t>ENG.1 Definição de requisitos de interessado</t>
  </si>
  <si>
    <t>ENG.2 Análise de requisitos de sistema</t>
  </si>
  <si>
    <t>ENG.3 Design arquitetural do sistema</t>
  </si>
  <si>
    <t>ENG.4 Implementação de software</t>
  </si>
  <si>
    <t>ENG.5 Integração de sistema</t>
  </si>
  <si>
    <t>ENG.6 Teste de qualificação do sistema</t>
  </si>
  <si>
    <t>ENG.7 Instalação de software</t>
  </si>
  <si>
    <t>ENG.8 Suporte à aceitação de software</t>
  </si>
  <si>
    <t>ENG.9 Operação de software</t>
  </si>
  <si>
    <t>ENG.10 Manutenção de software</t>
  </si>
  <si>
    <t>ENG.11 Eliminação de software</t>
  </si>
  <si>
    <t>DEV.1 Análise de requisitos de software</t>
  </si>
  <si>
    <t>DEV.2 Design arquitetural de software</t>
  </si>
  <si>
    <t>DEV.3 Design detalhado de software</t>
  </si>
  <si>
    <t>DEV.4 Construção de software</t>
  </si>
  <si>
    <t>DEV.5 Integração de software</t>
  </si>
  <si>
    <t>DEV.6 Teste de qualificação de software</t>
  </si>
  <si>
    <t>SUP.1 Gerenciamento de documentação de software</t>
  </si>
  <si>
    <t>SUP.2 Gerenciamento de configuração de software</t>
  </si>
  <si>
    <t>SUP.3 Garantia de qualidade de software</t>
  </si>
  <si>
    <t>SUP.4 Verificação de software</t>
  </si>
  <si>
    <t>SUP.5 Validação de software</t>
  </si>
  <si>
    <t>SUP.6 Revisão de software</t>
  </si>
  <si>
    <t>SUP.7 Auditoria de software</t>
  </si>
  <si>
    <t>SUP.8 Resolução de problemas com software</t>
  </si>
  <si>
    <t>REU.1 Engenharia de domínio</t>
  </si>
  <si>
    <t>REU.2 Gerenciamento de ativos reusáveis</t>
  </si>
  <si>
    <t>REU.3 Gerenciamento de programas reusáveis</t>
  </si>
  <si>
    <t>QNT.1 Melhoria de processo quantitativa</t>
  </si>
  <si>
    <t>QNT.2 Gerenciamento de desempenho quantitativo</t>
  </si>
  <si>
    <t>SUP.9 Gerenciamento de solicitações de mudança em software</t>
  </si>
  <si>
    <t>SPL.1E Suporte de aceitação de produto</t>
  </si>
  <si>
    <r>
      <t>SPL.1D Entrega de produto (</t>
    </r>
    <r>
      <rPr>
        <i/>
        <sz val="11"/>
        <color rgb="FF000000"/>
        <rFont val="Calibri"/>
        <family val="2"/>
      </rPr>
      <t>release</t>
    </r>
    <r>
      <rPr>
        <sz val="11"/>
        <color rgb="FF000000"/>
        <rFont val="Calibri"/>
        <family val="2"/>
      </rPr>
      <t>)</t>
    </r>
  </si>
  <si>
    <t>Processos - ISO</t>
  </si>
  <si>
    <t>Gerenciar conteúdos</t>
  </si>
  <si>
    <t>Gerenciar alunos</t>
  </si>
  <si>
    <t>Preencher documentos</t>
  </si>
  <si>
    <t>Emitir relatórios</t>
  </si>
  <si>
    <t>Funcionalidades sistêmicas</t>
  </si>
  <si>
    <t>F</t>
  </si>
  <si>
    <t>L</t>
  </si>
  <si>
    <t>P</t>
  </si>
  <si>
    <t>N</t>
  </si>
  <si>
    <t>Cadastrar usuário e senha</t>
  </si>
  <si>
    <t>Considerando a utilização de 6 Mnemônicos, calcule e comente o resultado do laudo:</t>
  </si>
  <si>
    <t>resultado do laudo:</t>
  </si>
  <si>
    <t>P-</t>
  </si>
  <si>
    <t>P+</t>
  </si>
  <si>
    <t>L-</t>
  </si>
  <si>
    <t>L+</t>
  </si>
  <si>
    <t>1-1,4</t>
  </si>
  <si>
    <t>1,5-1,9</t>
  </si>
  <si>
    <t>2-2,4</t>
  </si>
  <si>
    <t>2,5-2,9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</si>
</sst>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 applyAlignment="1">
      <alignment horizontal="center" vertical="center"/>
    </xf>
    <xf numFmtId="0" fontId="0" fillId="0" borderId="0" xfId="0" applyBorder="1"/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wrapText="1" readingOrder="1"/>
    </xf>
    <xf numFmtId="0" fontId="0" fillId="0" borderId="1" xfId="0" applyFill="1" applyBorder="1"/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0" fontId="0" fillId="7" borderId="1" xfId="0" applyFill="1" applyBorder="1"/>
    <xf numFmtId="0" fontId="0" fillId="7" borderId="2" xfId="0" applyFill="1" applyBorder="1"/>
    <xf numFmtId="164" fontId="0" fillId="5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1D32-60E0-4453-97B1-7E4735FF7798}">
  <dimension ref="A1:T64"/>
  <sheetViews>
    <sheetView tabSelected="1" zoomScaleNormal="100" workbookViewId="0">
      <selection activeCell="K15" sqref="K15"/>
    </sheetView>
  </sheetViews>
  <sheetFormatPr defaultColWidth="14.33203125" defaultRowHeight="14.4" x14ac:dyDescent="0.3"/>
  <cols>
    <col min="1" max="1" width="57.88671875" style="2" bestFit="1" customWidth="1"/>
    <col min="2" max="2" width="24.6640625" style="1" bestFit="1" customWidth="1"/>
    <col min="3" max="3" width="3" style="1" customWidth="1"/>
    <col min="4" max="4" width="2.109375" style="1" bestFit="1" customWidth="1"/>
    <col min="5" max="5" width="19.5546875" style="1" bestFit="1" customWidth="1"/>
    <col min="6" max="6" width="4.33203125" style="1" customWidth="1"/>
    <col min="7" max="7" width="3.33203125" style="1" bestFit="1" customWidth="1"/>
    <col min="8" max="8" width="16.33203125" style="1" bestFit="1" customWidth="1"/>
    <col min="9" max="9" width="4.33203125" style="1" customWidth="1"/>
    <col min="10" max="10" width="2.109375" style="1" bestFit="1" customWidth="1"/>
    <col min="11" max="11" width="22" style="1" bestFit="1" customWidth="1"/>
    <col min="12" max="12" width="3.109375" style="1" customWidth="1"/>
    <col min="13" max="13" width="2.109375" style="1" bestFit="1" customWidth="1"/>
    <col min="14" max="14" width="15.6640625" style="1" bestFit="1" customWidth="1"/>
    <col min="15" max="15" width="4.5546875" style="1" customWidth="1"/>
    <col min="16" max="16" width="3.33203125" bestFit="1" customWidth="1"/>
    <col min="17" max="17" width="2.109375" style="9" bestFit="1" customWidth="1"/>
    <col min="18" max="18" width="3.109375" bestFit="1" customWidth="1"/>
    <col min="19" max="19" width="2.109375" bestFit="1" customWidth="1"/>
    <col min="20" max="20" width="7.109375" bestFit="1" customWidth="1"/>
  </cols>
  <sheetData>
    <row r="1" spans="1:20" x14ac:dyDescent="0.3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4"/>
      <c r="P1" s="22" t="s">
        <v>59</v>
      </c>
      <c r="Q1" s="23">
        <v>0</v>
      </c>
      <c r="R1" s="20" t="s">
        <v>59</v>
      </c>
      <c r="S1" s="20">
        <v>0</v>
      </c>
    </row>
    <row r="2" spans="1:20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3"/>
      <c r="P2" s="22" t="s">
        <v>58</v>
      </c>
      <c r="Q2" s="23">
        <v>1</v>
      </c>
      <c r="R2" s="20" t="s">
        <v>63</v>
      </c>
      <c r="S2" s="20">
        <v>1</v>
      </c>
      <c r="T2" s="20" t="s">
        <v>67</v>
      </c>
    </row>
    <row r="3" spans="1:20" x14ac:dyDescent="0.3">
      <c r="A3" s="11" t="s">
        <v>50</v>
      </c>
      <c r="B3" s="25" t="s">
        <v>55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2"/>
      <c r="P3" s="22" t="s">
        <v>57</v>
      </c>
      <c r="Q3" s="23">
        <v>2</v>
      </c>
      <c r="R3" s="20" t="s">
        <v>64</v>
      </c>
      <c r="S3" s="20">
        <v>1</v>
      </c>
      <c r="T3" s="20" t="s">
        <v>68</v>
      </c>
    </row>
    <row r="4" spans="1:20" x14ac:dyDescent="0.3">
      <c r="A4" s="3"/>
      <c r="B4" s="4" t="s">
        <v>60</v>
      </c>
      <c r="C4" s="4"/>
      <c r="D4" s="4"/>
      <c r="E4" s="4" t="s">
        <v>51</v>
      </c>
      <c r="F4" s="4"/>
      <c r="G4" s="4"/>
      <c r="H4" s="4" t="s">
        <v>52</v>
      </c>
      <c r="I4" s="4"/>
      <c r="J4" s="4"/>
      <c r="K4" s="4" t="s">
        <v>53</v>
      </c>
      <c r="L4" s="4"/>
      <c r="M4" s="4"/>
      <c r="N4" s="4" t="s">
        <v>54</v>
      </c>
      <c r="O4" s="4"/>
      <c r="P4" s="22" t="s">
        <v>56</v>
      </c>
      <c r="Q4" s="23">
        <v>3</v>
      </c>
      <c r="R4" s="21" t="s">
        <v>65</v>
      </c>
      <c r="S4" s="20">
        <v>2</v>
      </c>
      <c r="T4" s="20" t="s">
        <v>69</v>
      </c>
    </row>
    <row r="5" spans="1:20" ht="15" customHeight="1" x14ac:dyDescent="0.3">
      <c r="A5" s="5" t="s">
        <v>0</v>
      </c>
      <c r="B5" s="6" t="s">
        <v>56</v>
      </c>
      <c r="C5" s="6"/>
      <c r="D5" s="6">
        <v>3</v>
      </c>
      <c r="E5" s="6" t="s">
        <v>56</v>
      </c>
      <c r="F5" s="6"/>
      <c r="G5" s="6">
        <v>3</v>
      </c>
      <c r="H5" s="6" t="s">
        <v>58</v>
      </c>
      <c r="I5" s="6"/>
      <c r="J5" s="6">
        <v>1</v>
      </c>
      <c r="K5" s="6" t="s">
        <v>57</v>
      </c>
      <c r="L5" s="6"/>
      <c r="M5" s="6">
        <v>2</v>
      </c>
      <c r="N5" s="6" t="s">
        <v>58</v>
      </c>
      <c r="O5" s="6"/>
      <c r="P5" s="16">
        <v>1</v>
      </c>
      <c r="R5" s="20" t="s">
        <v>66</v>
      </c>
      <c r="S5" s="20">
        <v>2</v>
      </c>
      <c r="T5" s="20" t="s">
        <v>70</v>
      </c>
    </row>
    <row r="6" spans="1:20" ht="15" customHeight="1" x14ac:dyDescent="0.3">
      <c r="A6" s="5" t="s">
        <v>1</v>
      </c>
      <c r="B6" s="6" t="s">
        <v>57</v>
      </c>
      <c r="C6" s="6"/>
      <c r="D6" s="6">
        <v>2</v>
      </c>
      <c r="E6" s="6" t="s">
        <v>56</v>
      </c>
      <c r="F6" s="6"/>
      <c r="G6" s="6">
        <v>3</v>
      </c>
      <c r="H6" s="6" t="s">
        <v>57</v>
      </c>
      <c r="I6" s="6"/>
      <c r="J6" s="6">
        <v>2</v>
      </c>
      <c r="K6" s="6" t="s">
        <v>59</v>
      </c>
      <c r="L6" s="6"/>
      <c r="M6" s="6">
        <v>0</v>
      </c>
      <c r="N6" s="6" t="s">
        <v>58</v>
      </c>
      <c r="O6" s="6"/>
      <c r="P6" s="16">
        <v>1</v>
      </c>
      <c r="R6" s="20" t="s">
        <v>56</v>
      </c>
      <c r="S6" s="20">
        <v>3</v>
      </c>
      <c r="T6" s="20">
        <v>3</v>
      </c>
    </row>
    <row r="7" spans="1:20" x14ac:dyDescent="0.3">
      <c r="A7" s="5" t="s">
        <v>2</v>
      </c>
      <c r="B7" s="6" t="s">
        <v>58</v>
      </c>
      <c r="C7" s="6"/>
      <c r="D7" s="6">
        <v>1</v>
      </c>
      <c r="E7" s="6" t="s">
        <v>59</v>
      </c>
      <c r="F7" s="6"/>
      <c r="G7" s="6">
        <v>0</v>
      </c>
      <c r="H7" s="6" t="s">
        <v>59</v>
      </c>
      <c r="I7" s="6"/>
      <c r="J7" s="6">
        <v>0</v>
      </c>
      <c r="K7" s="6" t="s">
        <v>58</v>
      </c>
      <c r="L7" s="6"/>
      <c r="M7" s="6">
        <v>1</v>
      </c>
      <c r="N7" s="6" t="s">
        <v>57</v>
      </c>
      <c r="O7" s="6"/>
      <c r="P7" s="17">
        <v>2</v>
      </c>
    </row>
    <row r="8" spans="1:20" x14ac:dyDescent="0.3">
      <c r="A8" s="15" t="s">
        <v>62</v>
      </c>
      <c r="B8" s="19">
        <f>D8/3</f>
        <v>2</v>
      </c>
      <c r="C8" s="24" t="s">
        <v>65</v>
      </c>
      <c r="D8" s="10">
        <f>SUM(D5:D7)</f>
        <v>6</v>
      </c>
      <c r="E8" s="19">
        <f>G8/3</f>
        <v>2</v>
      </c>
      <c r="F8" s="24" t="s">
        <v>65</v>
      </c>
      <c r="G8" s="10">
        <f t="shared" ref="G8:P8" si="0">SUM(G5:G7)</f>
        <v>6</v>
      </c>
      <c r="H8" s="19">
        <f>J8/3</f>
        <v>1</v>
      </c>
      <c r="I8" s="24" t="s">
        <v>63</v>
      </c>
      <c r="J8" s="10">
        <f t="shared" si="0"/>
        <v>3</v>
      </c>
      <c r="K8" s="19">
        <f>M8/3</f>
        <v>1</v>
      </c>
      <c r="L8" s="24" t="s">
        <v>63</v>
      </c>
      <c r="M8" s="10">
        <f t="shared" si="0"/>
        <v>3</v>
      </c>
      <c r="N8" s="19">
        <f>P8/3</f>
        <v>1.3333333333333333</v>
      </c>
      <c r="O8" s="24" t="s">
        <v>63</v>
      </c>
      <c r="P8" s="10">
        <f t="shared" si="0"/>
        <v>4</v>
      </c>
    </row>
    <row r="9" spans="1:20" ht="15" customHeight="1" x14ac:dyDescent="0.3">
      <c r="A9" s="7" t="s">
        <v>3</v>
      </c>
      <c r="B9" s="8" t="s">
        <v>58</v>
      </c>
      <c r="C9" s="8"/>
      <c r="D9" s="8">
        <v>1</v>
      </c>
      <c r="E9" s="8" t="s">
        <v>56</v>
      </c>
      <c r="F9" s="8"/>
      <c r="G9" s="8">
        <v>3</v>
      </c>
      <c r="H9" s="8" t="s">
        <v>57</v>
      </c>
      <c r="I9" s="8"/>
      <c r="J9" s="8">
        <v>2</v>
      </c>
      <c r="K9" s="8" t="s">
        <v>57</v>
      </c>
      <c r="L9" s="8"/>
      <c r="M9" s="8">
        <v>2</v>
      </c>
      <c r="N9" s="8" t="s">
        <v>59</v>
      </c>
      <c r="O9" s="8"/>
      <c r="P9" s="17">
        <v>0</v>
      </c>
    </row>
    <row r="10" spans="1:20" x14ac:dyDescent="0.3">
      <c r="A10" s="7" t="s">
        <v>4</v>
      </c>
      <c r="B10" s="8" t="s">
        <v>58</v>
      </c>
      <c r="C10" s="8"/>
      <c r="D10" s="8">
        <v>1</v>
      </c>
      <c r="E10" s="8" t="s">
        <v>56</v>
      </c>
      <c r="F10" s="8"/>
      <c r="G10" s="8">
        <v>3</v>
      </c>
      <c r="H10" s="8" t="s">
        <v>57</v>
      </c>
      <c r="I10" s="8"/>
      <c r="J10" s="8">
        <v>2</v>
      </c>
      <c r="K10" s="8" t="s">
        <v>59</v>
      </c>
      <c r="L10" s="8"/>
      <c r="M10" s="8">
        <v>0</v>
      </c>
      <c r="N10" s="8" t="s">
        <v>56</v>
      </c>
      <c r="O10" s="8"/>
      <c r="P10" s="17">
        <v>3</v>
      </c>
    </row>
    <row r="11" spans="1:20" x14ac:dyDescent="0.3">
      <c r="A11" s="7" t="s">
        <v>5</v>
      </c>
      <c r="B11" s="8" t="s">
        <v>58</v>
      </c>
      <c r="C11" s="8"/>
      <c r="D11" s="8">
        <v>1</v>
      </c>
      <c r="E11" s="8" t="s">
        <v>58</v>
      </c>
      <c r="F11" s="8"/>
      <c r="G11" s="8">
        <v>1</v>
      </c>
      <c r="H11" s="8" t="s">
        <v>58</v>
      </c>
      <c r="I11" s="8"/>
      <c r="J11" s="8">
        <v>1</v>
      </c>
      <c r="K11" s="8" t="s">
        <v>59</v>
      </c>
      <c r="L11" s="8"/>
      <c r="M11" s="8">
        <v>0</v>
      </c>
      <c r="N11" s="8" t="s">
        <v>56</v>
      </c>
      <c r="O11" s="8"/>
      <c r="P11" s="17">
        <v>3</v>
      </c>
    </row>
    <row r="12" spans="1:20" ht="15" customHeight="1" x14ac:dyDescent="0.3">
      <c r="A12" s="7" t="s">
        <v>6</v>
      </c>
      <c r="B12" s="8" t="s">
        <v>59</v>
      </c>
      <c r="C12" s="8"/>
      <c r="D12" s="8">
        <v>0</v>
      </c>
      <c r="E12" s="8" t="s">
        <v>58</v>
      </c>
      <c r="F12" s="8"/>
      <c r="G12" s="8">
        <v>1</v>
      </c>
      <c r="H12" s="8" t="s">
        <v>58</v>
      </c>
      <c r="I12" s="8"/>
      <c r="J12" s="8">
        <v>1</v>
      </c>
      <c r="K12" s="8" t="s">
        <v>57</v>
      </c>
      <c r="L12" s="8"/>
      <c r="M12" s="8">
        <v>2</v>
      </c>
      <c r="N12" s="8" t="s">
        <v>57</v>
      </c>
      <c r="O12" s="8"/>
      <c r="P12" s="17">
        <v>2</v>
      </c>
    </row>
    <row r="13" spans="1:20" x14ac:dyDescent="0.3">
      <c r="A13" s="7" t="s">
        <v>7</v>
      </c>
      <c r="B13" s="8" t="s">
        <v>57</v>
      </c>
      <c r="C13" s="8"/>
      <c r="D13" s="8">
        <v>2</v>
      </c>
      <c r="E13" s="8" t="s">
        <v>56</v>
      </c>
      <c r="F13" s="8"/>
      <c r="G13" s="8">
        <v>3</v>
      </c>
      <c r="H13" s="8" t="s">
        <v>57</v>
      </c>
      <c r="I13" s="8"/>
      <c r="J13" s="8">
        <v>2</v>
      </c>
      <c r="K13" s="8" t="s">
        <v>57</v>
      </c>
      <c r="L13" s="8"/>
      <c r="M13" s="8">
        <v>2</v>
      </c>
      <c r="N13" s="8" t="s">
        <v>58</v>
      </c>
      <c r="O13" s="8"/>
      <c r="P13" s="17">
        <v>1</v>
      </c>
    </row>
    <row r="14" spans="1:20" x14ac:dyDescent="0.3">
      <c r="A14" s="7" t="s">
        <v>8</v>
      </c>
      <c r="B14" s="8" t="s">
        <v>57</v>
      </c>
      <c r="C14" s="8"/>
      <c r="D14" s="8">
        <v>2</v>
      </c>
      <c r="E14" s="8" t="s">
        <v>56</v>
      </c>
      <c r="F14" s="8"/>
      <c r="G14" s="8">
        <v>3</v>
      </c>
      <c r="H14" s="8" t="s">
        <v>59</v>
      </c>
      <c r="I14" s="8"/>
      <c r="J14" s="8">
        <v>0</v>
      </c>
      <c r="K14" s="8" t="s">
        <v>59</v>
      </c>
      <c r="L14" s="8"/>
      <c r="M14" s="8">
        <v>0</v>
      </c>
      <c r="N14" s="8" t="s">
        <v>57</v>
      </c>
      <c r="O14" s="8"/>
      <c r="P14" s="17">
        <v>2</v>
      </c>
    </row>
    <row r="15" spans="1:20" x14ac:dyDescent="0.3">
      <c r="A15" s="7" t="s">
        <v>9</v>
      </c>
      <c r="B15" s="8" t="s">
        <v>58</v>
      </c>
      <c r="C15" s="8"/>
      <c r="D15" s="8">
        <v>1</v>
      </c>
      <c r="E15" s="8" t="s">
        <v>56</v>
      </c>
      <c r="F15" s="8"/>
      <c r="G15" s="8">
        <v>3</v>
      </c>
      <c r="H15" s="8" t="s">
        <v>59</v>
      </c>
      <c r="I15" s="8"/>
      <c r="J15" s="8">
        <v>0</v>
      </c>
      <c r="K15" s="8" t="s">
        <v>58</v>
      </c>
      <c r="L15" s="8"/>
      <c r="M15" s="8">
        <v>1</v>
      </c>
      <c r="N15" s="8" t="s">
        <v>56</v>
      </c>
      <c r="O15" s="8"/>
      <c r="P15" s="17">
        <v>3</v>
      </c>
    </row>
    <row r="16" spans="1:20" x14ac:dyDescent="0.3">
      <c r="A16" s="15" t="s">
        <v>62</v>
      </c>
      <c r="B16" s="19">
        <f>D16/7</f>
        <v>1.1428571428571428</v>
      </c>
      <c r="C16" s="24" t="s">
        <v>63</v>
      </c>
      <c r="D16" s="10">
        <f>SUM(D9:D15)</f>
        <v>8</v>
      </c>
      <c r="E16" s="19">
        <f>G16/7</f>
        <v>2.4285714285714284</v>
      </c>
      <c r="F16" s="24" t="s">
        <v>65</v>
      </c>
      <c r="G16" s="10">
        <f t="shared" ref="G16:P16" si="1">SUM(G9:G15)</f>
        <v>17</v>
      </c>
      <c r="H16" s="19">
        <f>J16/7</f>
        <v>1.1428571428571428</v>
      </c>
      <c r="I16" s="24" t="s">
        <v>63</v>
      </c>
      <c r="J16" s="10">
        <f t="shared" si="1"/>
        <v>8</v>
      </c>
      <c r="K16" s="19">
        <f>M16/7</f>
        <v>1</v>
      </c>
      <c r="L16" s="24" t="s">
        <v>63</v>
      </c>
      <c r="M16" s="10">
        <f t="shared" si="1"/>
        <v>7</v>
      </c>
      <c r="N16" s="19">
        <f>P16/7</f>
        <v>2</v>
      </c>
      <c r="O16" s="24" t="s">
        <v>65</v>
      </c>
      <c r="P16" s="10">
        <f t="shared" si="1"/>
        <v>14</v>
      </c>
    </row>
    <row r="17" spans="1:16" x14ac:dyDescent="0.3">
      <c r="A17" s="5" t="s">
        <v>10</v>
      </c>
      <c r="B17" s="6" t="s">
        <v>56</v>
      </c>
      <c r="C17" s="6"/>
      <c r="D17" s="6"/>
      <c r="E17" s="6" t="s">
        <v>56</v>
      </c>
      <c r="F17" s="6"/>
      <c r="G17" s="6"/>
      <c r="H17" s="6" t="s">
        <v>56</v>
      </c>
      <c r="I17" s="6"/>
      <c r="J17" s="6"/>
      <c r="K17" s="6" t="s">
        <v>58</v>
      </c>
      <c r="L17" s="6"/>
      <c r="M17" s="6"/>
      <c r="N17" s="6" t="s">
        <v>58</v>
      </c>
      <c r="O17" s="6"/>
      <c r="P17" s="17"/>
    </row>
    <row r="18" spans="1:16" x14ac:dyDescent="0.3">
      <c r="A18" s="5" t="s">
        <v>11</v>
      </c>
      <c r="B18" s="6" t="s">
        <v>56</v>
      </c>
      <c r="C18" s="6"/>
      <c r="D18" s="6"/>
      <c r="E18" s="6" t="s">
        <v>56</v>
      </c>
      <c r="F18" s="6"/>
      <c r="G18" s="6"/>
      <c r="H18" s="6" t="s">
        <v>56</v>
      </c>
      <c r="I18" s="6"/>
      <c r="J18" s="6"/>
      <c r="K18" s="6" t="s">
        <v>58</v>
      </c>
      <c r="L18" s="6"/>
      <c r="M18" s="6"/>
      <c r="N18" s="6" t="s">
        <v>58</v>
      </c>
      <c r="O18" s="6"/>
      <c r="P18" s="17"/>
    </row>
    <row r="19" spans="1:16" x14ac:dyDescent="0.3">
      <c r="A19" s="5" t="s">
        <v>12</v>
      </c>
      <c r="B19" s="6" t="s">
        <v>56</v>
      </c>
      <c r="C19" s="6"/>
      <c r="D19" s="6"/>
      <c r="E19" s="18"/>
      <c r="F19" s="18"/>
      <c r="G19" s="18"/>
      <c r="H19" s="6" t="s">
        <v>57</v>
      </c>
      <c r="I19" s="6"/>
      <c r="J19" s="6"/>
      <c r="K19" s="6" t="s">
        <v>57</v>
      </c>
      <c r="L19" s="6"/>
      <c r="M19" s="6"/>
      <c r="N19" s="18"/>
      <c r="O19" s="18"/>
      <c r="P19" s="16"/>
    </row>
    <row r="20" spans="1:16" x14ac:dyDescent="0.3">
      <c r="A20" s="5" t="s">
        <v>13</v>
      </c>
      <c r="B20" s="6" t="s">
        <v>58</v>
      </c>
      <c r="C20" s="6"/>
      <c r="D20" s="6"/>
      <c r="E20" s="6" t="s">
        <v>57</v>
      </c>
      <c r="F20" s="6"/>
      <c r="G20" s="6"/>
      <c r="H20" s="6" t="s">
        <v>57</v>
      </c>
      <c r="I20" s="6"/>
      <c r="J20" s="6"/>
      <c r="K20" s="6" t="s">
        <v>57</v>
      </c>
      <c r="L20" s="6"/>
      <c r="M20" s="6"/>
      <c r="N20" s="6" t="s">
        <v>57</v>
      </c>
      <c r="O20" s="6"/>
      <c r="P20" s="17"/>
    </row>
    <row r="21" spans="1:16" x14ac:dyDescent="0.3">
      <c r="A21" s="5" t="s">
        <v>14</v>
      </c>
      <c r="B21" s="6" t="s">
        <v>57</v>
      </c>
      <c r="C21" s="6"/>
      <c r="D21" s="6"/>
      <c r="E21" s="6" t="s">
        <v>57</v>
      </c>
      <c r="F21" s="6"/>
      <c r="G21" s="6"/>
      <c r="H21" s="6" t="s">
        <v>59</v>
      </c>
      <c r="I21" s="6"/>
      <c r="J21" s="6"/>
      <c r="K21" s="6" t="s">
        <v>59</v>
      </c>
      <c r="L21" s="6"/>
      <c r="M21" s="6"/>
      <c r="N21" s="6" t="s">
        <v>57</v>
      </c>
      <c r="O21" s="6"/>
      <c r="P21" s="17"/>
    </row>
    <row r="22" spans="1:16" x14ac:dyDescent="0.3">
      <c r="A22" s="5" t="s">
        <v>15</v>
      </c>
      <c r="B22" s="6" t="s">
        <v>57</v>
      </c>
      <c r="C22" s="6"/>
      <c r="D22" s="6"/>
      <c r="E22" s="6" t="s">
        <v>58</v>
      </c>
      <c r="F22" s="6"/>
      <c r="G22" s="6"/>
      <c r="H22" s="6" t="s">
        <v>58</v>
      </c>
      <c r="I22" s="6"/>
      <c r="J22" s="6"/>
      <c r="K22" s="6" t="s">
        <v>56</v>
      </c>
      <c r="L22" s="6"/>
      <c r="M22" s="6"/>
      <c r="N22" s="6" t="s">
        <v>57</v>
      </c>
      <c r="O22" s="6"/>
      <c r="P22" s="17"/>
    </row>
    <row r="23" spans="1:16" x14ac:dyDescent="0.3">
      <c r="A23" s="5" t="s">
        <v>16</v>
      </c>
      <c r="B23" s="6" t="s">
        <v>59</v>
      </c>
      <c r="C23" s="6"/>
      <c r="D23" s="6"/>
      <c r="E23" s="6" t="s">
        <v>57</v>
      </c>
      <c r="F23" s="6"/>
      <c r="G23" s="6"/>
      <c r="H23" s="6" t="s">
        <v>58</v>
      </c>
      <c r="I23" s="6"/>
      <c r="J23" s="6"/>
      <c r="K23" s="6" t="s">
        <v>56</v>
      </c>
      <c r="L23" s="6"/>
      <c r="M23" s="6"/>
      <c r="N23" s="6" t="s">
        <v>56</v>
      </c>
      <c r="O23" s="6"/>
      <c r="P23" s="17"/>
    </row>
    <row r="24" spans="1:16" x14ac:dyDescent="0.3">
      <c r="A24" s="15" t="s">
        <v>62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7"/>
    </row>
    <row r="25" spans="1:16" x14ac:dyDescent="0.3">
      <c r="A25" s="7" t="s">
        <v>17</v>
      </c>
      <c r="B25" s="8" t="s">
        <v>57</v>
      </c>
      <c r="C25" s="8"/>
      <c r="D25" s="8"/>
      <c r="E25" s="8" t="s">
        <v>56</v>
      </c>
      <c r="F25" s="8"/>
      <c r="G25" s="8"/>
      <c r="H25" s="8" t="s">
        <v>58</v>
      </c>
      <c r="I25" s="8"/>
      <c r="J25" s="8"/>
      <c r="K25" s="8" t="s">
        <v>56</v>
      </c>
      <c r="L25" s="8"/>
      <c r="M25" s="8"/>
      <c r="N25" s="8" t="s">
        <v>56</v>
      </c>
      <c r="O25" s="8"/>
      <c r="P25" s="17"/>
    </row>
    <row r="26" spans="1:16" x14ac:dyDescent="0.3">
      <c r="A26" s="7" t="s">
        <v>18</v>
      </c>
      <c r="B26" s="8" t="s">
        <v>57</v>
      </c>
      <c r="C26" s="8"/>
      <c r="D26" s="8"/>
      <c r="E26" s="8" t="s">
        <v>57</v>
      </c>
      <c r="F26" s="8"/>
      <c r="G26" s="8"/>
      <c r="H26" s="8" t="s">
        <v>57</v>
      </c>
      <c r="I26" s="8"/>
      <c r="J26" s="8"/>
      <c r="K26" s="8" t="s">
        <v>56</v>
      </c>
      <c r="L26" s="8"/>
      <c r="M26" s="8"/>
      <c r="N26" s="8" t="s">
        <v>56</v>
      </c>
      <c r="O26" s="8"/>
      <c r="P26" s="17"/>
    </row>
    <row r="27" spans="1:16" x14ac:dyDescent="0.3">
      <c r="A27" s="7" t="s">
        <v>19</v>
      </c>
      <c r="B27" s="8" t="s">
        <v>58</v>
      </c>
      <c r="C27" s="8"/>
      <c r="D27" s="8"/>
      <c r="E27" s="8" t="s">
        <v>57</v>
      </c>
      <c r="F27" s="8"/>
      <c r="G27" s="8"/>
      <c r="H27" s="8" t="s">
        <v>57</v>
      </c>
      <c r="I27" s="8"/>
      <c r="J27" s="8"/>
      <c r="K27" s="8" t="s">
        <v>56</v>
      </c>
      <c r="L27" s="8"/>
      <c r="M27" s="8"/>
      <c r="N27" s="8"/>
      <c r="O27" s="8"/>
      <c r="P27" s="17"/>
    </row>
    <row r="28" spans="1:16" x14ac:dyDescent="0.3">
      <c r="A28" s="7" t="s">
        <v>20</v>
      </c>
      <c r="B28" s="8" t="s">
        <v>58</v>
      </c>
      <c r="C28" s="8"/>
      <c r="D28" s="8"/>
      <c r="E28" s="8" t="s">
        <v>59</v>
      </c>
      <c r="F28" s="8"/>
      <c r="G28" s="8"/>
      <c r="H28" s="8" t="s">
        <v>59</v>
      </c>
      <c r="I28" s="8"/>
      <c r="J28" s="8"/>
      <c r="K28" s="8" t="s">
        <v>58</v>
      </c>
      <c r="L28" s="8"/>
      <c r="M28" s="8"/>
      <c r="N28" s="8" t="s">
        <v>57</v>
      </c>
      <c r="O28" s="8"/>
      <c r="P28" s="17"/>
    </row>
    <row r="29" spans="1:16" x14ac:dyDescent="0.3">
      <c r="A29" s="7" t="s">
        <v>21</v>
      </c>
      <c r="B29" s="8" t="s">
        <v>56</v>
      </c>
      <c r="C29" s="8"/>
      <c r="D29" s="8"/>
      <c r="E29" s="8" t="s">
        <v>58</v>
      </c>
      <c r="F29" s="8"/>
      <c r="G29" s="8"/>
      <c r="H29" s="8" t="s">
        <v>56</v>
      </c>
      <c r="I29" s="8"/>
      <c r="J29" s="8"/>
      <c r="K29" s="8" t="s">
        <v>57</v>
      </c>
      <c r="L29" s="8"/>
      <c r="M29" s="8"/>
      <c r="N29" s="8" t="s">
        <v>57</v>
      </c>
      <c r="O29" s="8"/>
      <c r="P29" s="17"/>
    </row>
    <row r="30" spans="1:16" x14ac:dyDescent="0.3">
      <c r="A30" s="7" t="s">
        <v>22</v>
      </c>
      <c r="B30" s="8" t="s">
        <v>56</v>
      </c>
      <c r="C30" s="8"/>
      <c r="D30" s="8"/>
      <c r="E30" s="8" t="s">
        <v>58</v>
      </c>
      <c r="F30" s="8"/>
      <c r="G30" s="8"/>
      <c r="H30" s="8" t="s">
        <v>56</v>
      </c>
      <c r="I30" s="8"/>
      <c r="J30" s="8"/>
      <c r="K30" s="8" t="s">
        <v>57</v>
      </c>
      <c r="L30" s="8"/>
      <c r="M30" s="8"/>
      <c r="N30" s="8" t="s">
        <v>58</v>
      </c>
      <c r="O30" s="8"/>
      <c r="P30" s="17"/>
    </row>
    <row r="31" spans="1:16" x14ac:dyDescent="0.3">
      <c r="A31" s="7" t="s">
        <v>23</v>
      </c>
      <c r="B31" s="8" t="s">
        <v>56</v>
      </c>
      <c r="C31" s="8"/>
      <c r="D31" s="8"/>
      <c r="E31" s="8" t="s">
        <v>58</v>
      </c>
      <c r="F31" s="8"/>
      <c r="G31" s="8"/>
      <c r="H31" s="8" t="s">
        <v>58</v>
      </c>
      <c r="I31" s="8"/>
      <c r="J31" s="8"/>
      <c r="K31" s="8" t="s">
        <v>59</v>
      </c>
      <c r="L31" s="8"/>
      <c r="M31" s="8"/>
      <c r="N31" s="8" t="s">
        <v>57</v>
      </c>
      <c r="O31" s="8"/>
      <c r="P31" s="17"/>
    </row>
    <row r="32" spans="1:16" x14ac:dyDescent="0.3">
      <c r="A32" s="7" t="s">
        <v>24</v>
      </c>
      <c r="B32" s="8" t="s">
        <v>56</v>
      </c>
      <c r="C32" s="8"/>
      <c r="D32" s="8"/>
      <c r="E32" s="8" t="s">
        <v>58</v>
      </c>
      <c r="F32" s="8"/>
      <c r="G32" s="8"/>
      <c r="H32" s="8" t="s">
        <v>58</v>
      </c>
      <c r="I32" s="8"/>
      <c r="J32" s="8"/>
      <c r="K32" s="8" t="s">
        <v>57</v>
      </c>
      <c r="L32" s="8"/>
      <c r="M32" s="8"/>
      <c r="N32" s="8" t="s">
        <v>57</v>
      </c>
      <c r="O32" s="8"/>
      <c r="P32" s="17"/>
    </row>
    <row r="33" spans="1:16" x14ac:dyDescent="0.3">
      <c r="A33" s="7" t="s">
        <v>25</v>
      </c>
      <c r="B33" s="8" t="s">
        <v>59</v>
      </c>
      <c r="C33" s="8"/>
      <c r="D33" s="8"/>
      <c r="E33" s="8" t="s">
        <v>56</v>
      </c>
      <c r="F33" s="8"/>
      <c r="G33" s="8"/>
      <c r="H33" s="8" t="s">
        <v>56</v>
      </c>
      <c r="I33" s="8"/>
      <c r="J33" s="8"/>
      <c r="K33" s="8" t="s">
        <v>57</v>
      </c>
      <c r="L33" s="8"/>
      <c r="M33" s="8"/>
      <c r="N33" s="8" t="s">
        <v>57</v>
      </c>
      <c r="O33" s="8"/>
      <c r="P33" s="17"/>
    </row>
    <row r="34" spans="1:16" x14ac:dyDescent="0.3">
      <c r="A34" s="7" t="s">
        <v>26</v>
      </c>
      <c r="B34" s="8" t="s">
        <v>59</v>
      </c>
      <c r="C34" s="8"/>
      <c r="D34" s="8"/>
      <c r="E34" s="8" t="s">
        <v>56</v>
      </c>
      <c r="F34" s="8"/>
      <c r="G34" s="8"/>
      <c r="H34" s="8" t="s">
        <v>56</v>
      </c>
      <c r="I34" s="8"/>
      <c r="J34" s="8"/>
      <c r="K34" s="8" t="s">
        <v>59</v>
      </c>
      <c r="L34" s="8"/>
      <c r="M34" s="8"/>
      <c r="N34" s="8" t="s">
        <v>59</v>
      </c>
      <c r="O34" s="8"/>
      <c r="P34" s="17"/>
    </row>
    <row r="35" spans="1:16" x14ac:dyDescent="0.3">
      <c r="A35" s="7" t="s">
        <v>27</v>
      </c>
      <c r="B35" s="8" t="s">
        <v>58</v>
      </c>
      <c r="C35" s="8"/>
      <c r="D35" s="8"/>
      <c r="E35" s="8" t="s">
        <v>56</v>
      </c>
      <c r="F35" s="8"/>
      <c r="G35" s="8"/>
      <c r="H35" s="8" t="s">
        <v>56</v>
      </c>
      <c r="I35" s="8"/>
      <c r="J35" s="8"/>
      <c r="K35" s="8" t="s">
        <v>56</v>
      </c>
      <c r="L35" s="8"/>
      <c r="M35" s="8"/>
      <c r="N35" s="8" t="s">
        <v>56</v>
      </c>
      <c r="O35" s="8"/>
      <c r="P35" s="17"/>
    </row>
    <row r="36" spans="1:16" x14ac:dyDescent="0.3">
      <c r="A36" s="15" t="s">
        <v>62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7"/>
    </row>
    <row r="37" spans="1:16" x14ac:dyDescent="0.3">
      <c r="A37" s="5" t="s">
        <v>28</v>
      </c>
      <c r="B37" s="6" t="s">
        <v>58</v>
      </c>
      <c r="C37" s="6"/>
      <c r="D37" s="6"/>
      <c r="E37" s="6" t="s">
        <v>58</v>
      </c>
      <c r="F37" s="6"/>
      <c r="G37" s="6"/>
      <c r="H37" s="6" t="s">
        <v>58</v>
      </c>
      <c r="I37" s="6"/>
      <c r="J37" s="6"/>
      <c r="K37" s="6" t="s">
        <v>58</v>
      </c>
      <c r="L37" s="6"/>
      <c r="M37" s="6"/>
      <c r="N37" s="6" t="s">
        <v>56</v>
      </c>
      <c r="O37" s="6"/>
      <c r="P37" s="17"/>
    </row>
    <row r="38" spans="1:16" x14ac:dyDescent="0.3">
      <c r="A38" s="5" t="s">
        <v>29</v>
      </c>
      <c r="B38" s="6" t="s">
        <v>58</v>
      </c>
      <c r="C38" s="6"/>
      <c r="D38" s="6"/>
      <c r="E38" s="6" t="s">
        <v>58</v>
      </c>
      <c r="F38" s="6"/>
      <c r="G38" s="6"/>
      <c r="H38" s="6" t="s">
        <v>58</v>
      </c>
      <c r="I38" s="6"/>
      <c r="J38" s="6"/>
      <c r="K38" s="6" t="s">
        <v>57</v>
      </c>
      <c r="L38" s="6"/>
      <c r="M38" s="6"/>
      <c r="N38" s="6" t="s">
        <v>56</v>
      </c>
      <c r="O38" s="6"/>
      <c r="P38" s="17"/>
    </row>
    <row r="39" spans="1:16" x14ac:dyDescent="0.3">
      <c r="A39" s="5" t="s">
        <v>30</v>
      </c>
      <c r="B39" s="6" t="s">
        <v>57</v>
      </c>
      <c r="C39" s="6"/>
      <c r="D39" s="6"/>
      <c r="E39" s="6" t="s">
        <v>57</v>
      </c>
      <c r="F39" s="6"/>
      <c r="G39" s="6"/>
      <c r="H39" s="6"/>
      <c r="I39" s="6"/>
      <c r="J39" s="6"/>
      <c r="K39" s="6" t="s">
        <v>59</v>
      </c>
      <c r="L39" s="6"/>
      <c r="M39" s="6"/>
      <c r="N39" s="6"/>
      <c r="O39" s="6"/>
      <c r="P39" s="17"/>
    </row>
    <row r="40" spans="1:16" x14ac:dyDescent="0.3">
      <c r="A40" s="5" t="s">
        <v>31</v>
      </c>
      <c r="B40" s="6" t="s">
        <v>57</v>
      </c>
      <c r="C40" s="6"/>
      <c r="D40" s="6"/>
      <c r="E40" s="6" t="s">
        <v>59</v>
      </c>
      <c r="F40" s="6"/>
      <c r="G40" s="6"/>
      <c r="H40" s="6" t="s">
        <v>57</v>
      </c>
      <c r="I40" s="6"/>
      <c r="J40" s="6"/>
      <c r="K40" s="6" t="s">
        <v>58</v>
      </c>
      <c r="L40" s="6"/>
      <c r="M40" s="6"/>
      <c r="N40" s="6" t="s">
        <v>57</v>
      </c>
      <c r="O40" s="6"/>
      <c r="P40" s="17"/>
    </row>
    <row r="41" spans="1:16" x14ac:dyDescent="0.3">
      <c r="A41" s="5" t="s">
        <v>32</v>
      </c>
      <c r="B41" s="6" t="s">
        <v>56</v>
      </c>
      <c r="C41" s="6"/>
      <c r="D41" s="6"/>
      <c r="E41" s="6" t="s">
        <v>58</v>
      </c>
      <c r="F41" s="6"/>
      <c r="G41" s="6"/>
      <c r="H41" s="6" t="s">
        <v>57</v>
      </c>
      <c r="I41" s="6"/>
      <c r="J41" s="6"/>
      <c r="K41" s="6" t="s">
        <v>58</v>
      </c>
      <c r="L41" s="6"/>
      <c r="M41" s="6"/>
      <c r="N41" s="6" t="s">
        <v>57</v>
      </c>
      <c r="O41" s="6"/>
      <c r="P41" s="17"/>
    </row>
    <row r="42" spans="1:16" x14ac:dyDescent="0.3">
      <c r="A42" s="5" t="s">
        <v>33</v>
      </c>
      <c r="B42" s="6" t="s">
        <v>56</v>
      </c>
      <c r="C42" s="6"/>
      <c r="D42" s="6"/>
      <c r="E42" s="6" t="s">
        <v>58</v>
      </c>
      <c r="F42" s="6"/>
      <c r="G42" s="6"/>
      <c r="H42" s="6" t="s">
        <v>57</v>
      </c>
      <c r="I42" s="6"/>
      <c r="J42" s="6"/>
      <c r="K42" s="6" t="s">
        <v>57</v>
      </c>
      <c r="L42" s="6"/>
      <c r="M42" s="6"/>
      <c r="N42" s="6" t="s">
        <v>58</v>
      </c>
      <c r="O42" s="6"/>
      <c r="P42" s="17"/>
    </row>
    <row r="43" spans="1:16" x14ac:dyDescent="0.3">
      <c r="A43" s="15" t="s">
        <v>62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7"/>
    </row>
    <row r="44" spans="1:16" x14ac:dyDescent="0.3">
      <c r="A44" s="7" t="s">
        <v>34</v>
      </c>
      <c r="B44" s="8" t="s">
        <v>59</v>
      </c>
      <c r="C44" s="8"/>
      <c r="D44" s="8"/>
      <c r="E44" s="8" t="s">
        <v>59</v>
      </c>
      <c r="F44" s="8"/>
      <c r="G44" s="8"/>
      <c r="H44" s="8" t="s">
        <v>57</v>
      </c>
      <c r="I44" s="8"/>
      <c r="J44" s="8"/>
      <c r="K44" s="8" t="s">
        <v>56</v>
      </c>
      <c r="L44" s="8"/>
      <c r="M44" s="8"/>
      <c r="N44" s="8" t="s">
        <v>58</v>
      </c>
      <c r="O44" s="8"/>
      <c r="P44" s="17"/>
    </row>
    <row r="45" spans="1:16" x14ac:dyDescent="0.3">
      <c r="A45" s="7" t="s">
        <v>35</v>
      </c>
      <c r="B45" s="8" t="s">
        <v>56</v>
      </c>
      <c r="C45" s="8"/>
      <c r="D45" s="8"/>
      <c r="E45" s="8" t="s">
        <v>59</v>
      </c>
      <c r="F45" s="8"/>
      <c r="G45" s="8"/>
      <c r="H45" s="8" t="s">
        <v>57</v>
      </c>
      <c r="I45" s="8"/>
      <c r="J45" s="8"/>
      <c r="K45" s="8" t="s">
        <v>58</v>
      </c>
      <c r="L45" s="8"/>
      <c r="M45" s="8"/>
      <c r="N45" s="8" t="s">
        <v>58</v>
      </c>
      <c r="O45" s="8"/>
      <c r="P45" s="17"/>
    </row>
    <row r="46" spans="1:16" x14ac:dyDescent="0.3">
      <c r="A46" s="7" t="s">
        <v>36</v>
      </c>
      <c r="B46" s="8" t="s">
        <v>56</v>
      </c>
      <c r="C46" s="8"/>
      <c r="D46" s="8"/>
      <c r="E46" s="8" t="s">
        <v>57</v>
      </c>
      <c r="F46" s="8"/>
      <c r="G46" s="8"/>
      <c r="H46" s="8" t="s">
        <v>58</v>
      </c>
      <c r="I46" s="8"/>
      <c r="J46" s="8"/>
      <c r="K46" s="8" t="s">
        <v>58</v>
      </c>
      <c r="L46" s="8"/>
      <c r="M46" s="8"/>
      <c r="N46" s="8" t="s">
        <v>56</v>
      </c>
      <c r="O46" s="8"/>
      <c r="P46" s="17"/>
    </row>
    <row r="47" spans="1:16" x14ac:dyDescent="0.3">
      <c r="A47" s="7" t="s">
        <v>37</v>
      </c>
      <c r="B47" s="8" t="s">
        <v>58</v>
      </c>
      <c r="C47" s="8"/>
      <c r="D47" s="8"/>
      <c r="E47" s="8" t="s">
        <v>57</v>
      </c>
      <c r="F47" s="8"/>
      <c r="G47" s="8"/>
      <c r="H47" s="8" t="s">
        <v>57</v>
      </c>
      <c r="I47" s="8"/>
      <c r="J47" s="8"/>
      <c r="K47" s="8" t="s">
        <v>56</v>
      </c>
      <c r="L47" s="8"/>
      <c r="M47" s="8"/>
      <c r="N47" s="8" t="s">
        <v>56</v>
      </c>
      <c r="O47" s="8"/>
      <c r="P47" s="17"/>
    </row>
    <row r="48" spans="1:16" x14ac:dyDescent="0.3">
      <c r="A48" s="7" t="s">
        <v>38</v>
      </c>
      <c r="B48" s="8" t="s">
        <v>58</v>
      </c>
      <c r="C48" s="8"/>
      <c r="D48" s="8"/>
      <c r="E48" s="8" t="s">
        <v>59</v>
      </c>
      <c r="F48" s="8"/>
      <c r="G48" s="8"/>
      <c r="H48" s="8" t="s">
        <v>57</v>
      </c>
      <c r="I48" s="8"/>
      <c r="J48" s="8"/>
      <c r="K48" s="8" t="s">
        <v>56</v>
      </c>
      <c r="L48" s="8"/>
      <c r="M48" s="8"/>
      <c r="N48" s="8" t="s">
        <v>56</v>
      </c>
      <c r="O48" s="8"/>
      <c r="P48" s="17"/>
    </row>
    <row r="49" spans="1:16" x14ac:dyDescent="0.3">
      <c r="A49" s="7" t="s">
        <v>39</v>
      </c>
      <c r="B49" s="8" t="s">
        <v>56</v>
      </c>
      <c r="C49" s="8"/>
      <c r="D49" s="8"/>
      <c r="E49" s="8" t="s">
        <v>57</v>
      </c>
      <c r="F49" s="8"/>
      <c r="G49" s="8"/>
      <c r="H49" s="8" t="s">
        <v>57</v>
      </c>
      <c r="I49" s="8"/>
      <c r="J49" s="8"/>
      <c r="K49" s="8" t="s">
        <v>57</v>
      </c>
      <c r="L49" s="8"/>
      <c r="M49" s="8"/>
      <c r="N49" s="8" t="s">
        <v>56</v>
      </c>
      <c r="O49" s="8"/>
      <c r="P49" s="17"/>
    </row>
    <row r="50" spans="1:16" x14ac:dyDescent="0.3">
      <c r="A50" s="7" t="s">
        <v>40</v>
      </c>
      <c r="B50" s="8" t="s">
        <v>56</v>
      </c>
      <c r="C50" s="8"/>
      <c r="D50" s="8"/>
      <c r="E50" s="8" t="s">
        <v>57</v>
      </c>
      <c r="F50" s="8"/>
      <c r="G50" s="8"/>
      <c r="H50" s="8" t="s">
        <v>59</v>
      </c>
      <c r="I50" s="8"/>
      <c r="J50" s="8"/>
      <c r="K50" s="8" t="s">
        <v>57</v>
      </c>
      <c r="L50" s="8"/>
      <c r="M50" s="8"/>
      <c r="N50" s="8" t="s">
        <v>59</v>
      </c>
      <c r="O50" s="8"/>
      <c r="P50" s="17"/>
    </row>
    <row r="51" spans="1:16" x14ac:dyDescent="0.3">
      <c r="A51" s="7" t="s">
        <v>41</v>
      </c>
      <c r="B51" s="8" t="s">
        <v>59</v>
      </c>
      <c r="C51" s="8"/>
      <c r="D51" s="8"/>
      <c r="E51" s="8" t="s">
        <v>58</v>
      </c>
      <c r="F51" s="8"/>
      <c r="G51" s="8"/>
      <c r="H51" s="8" t="s">
        <v>58</v>
      </c>
      <c r="I51" s="8"/>
      <c r="J51" s="8"/>
      <c r="K51" s="8" t="s">
        <v>57</v>
      </c>
      <c r="L51" s="8"/>
      <c r="M51" s="8"/>
      <c r="N51" s="8" t="s">
        <v>58</v>
      </c>
      <c r="O51" s="8"/>
      <c r="P51" s="17"/>
    </row>
    <row r="52" spans="1:16" x14ac:dyDescent="0.3">
      <c r="A52" s="15" t="s">
        <v>62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7"/>
    </row>
    <row r="53" spans="1:16" x14ac:dyDescent="0.3">
      <c r="A53" s="5" t="s">
        <v>42</v>
      </c>
      <c r="B53" s="6" t="s">
        <v>56</v>
      </c>
      <c r="C53" s="6"/>
      <c r="D53" s="6"/>
      <c r="E53" s="6" t="s">
        <v>57</v>
      </c>
      <c r="F53" s="6"/>
      <c r="G53" s="6"/>
      <c r="H53" s="6" t="s">
        <v>58</v>
      </c>
      <c r="I53" s="6"/>
      <c r="J53" s="6"/>
      <c r="K53" s="6" t="s">
        <v>58</v>
      </c>
      <c r="L53" s="6"/>
      <c r="M53" s="6"/>
      <c r="N53" s="6" t="s">
        <v>56</v>
      </c>
      <c r="O53" s="6"/>
      <c r="P53" s="17"/>
    </row>
    <row r="54" spans="1:16" x14ac:dyDescent="0.3">
      <c r="A54" s="5" t="s">
        <v>43</v>
      </c>
      <c r="B54" s="6" t="s">
        <v>56</v>
      </c>
      <c r="C54" s="6"/>
      <c r="D54" s="6"/>
      <c r="E54" s="6" t="s">
        <v>57</v>
      </c>
      <c r="F54" s="6"/>
      <c r="G54" s="6"/>
      <c r="H54" s="6" t="s">
        <v>58</v>
      </c>
      <c r="I54" s="6"/>
      <c r="J54" s="6"/>
      <c r="K54" s="6" t="s">
        <v>58</v>
      </c>
      <c r="L54" s="6"/>
      <c r="M54" s="6"/>
      <c r="N54" s="6" t="s">
        <v>57</v>
      </c>
      <c r="O54" s="6"/>
      <c r="P54" s="17"/>
    </row>
    <row r="55" spans="1:16" x14ac:dyDescent="0.3">
      <c r="A55" s="5" t="s">
        <v>44</v>
      </c>
      <c r="B55" s="6" t="s">
        <v>57</v>
      </c>
      <c r="C55" s="6"/>
      <c r="D55" s="6"/>
      <c r="E55" s="6" t="s">
        <v>58</v>
      </c>
      <c r="F55" s="6"/>
      <c r="G55" s="6"/>
      <c r="H55" s="6" t="s">
        <v>56</v>
      </c>
      <c r="I55" s="6"/>
      <c r="J55" s="6"/>
      <c r="K55" s="6" t="s">
        <v>57</v>
      </c>
      <c r="L55" s="6"/>
      <c r="M55" s="6"/>
      <c r="N55" s="6" t="s">
        <v>59</v>
      </c>
      <c r="O55" s="6"/>
      <c r="P55" s="17"/>
    </row>
    <row r="56" spans="1:16" x14ac:dyDescent="0.3">
      <c r="A56" s="15" t="s">
        <v>62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7"/>
    </row>
    <row r="57" spans="1:16" x14ac:dyDescent="0.3">
      <c r="A57" s="7" t="s">
        <v>45</v>
      </c>
      <c r="B57" s="8" t="s">
        <v>58</v>
      </c>
      <c r="C57" s="8"/>
      <c r="D57" s="8"/>
      <c r="E57" s="8" t="s">
        <v>57</v>
      </c>
      <c r="F57" s="8"/>
      <c r="G57" s="8"/>
      <c r="H57" s="8" t="s">
        <v>57</v>
      </c>
      <c r="I57" s="8"/>
      <c r="J57" s="8"/>
      <c r="K57" s="8" t="s">
        <v>59</v>
      </c>
      <c r="L57" s="8"/>
      <c r="M57" s="8"/>
      <c r="N57" s="8" t="s">
        <v>58</v>
      </c>
      <c r="O57" s="8"/>
      <c r="P57" s="17"/>
    </row>
    <row r="58" spans="1:16" x14ac:dyDescent="0.3">
      <c r="A58" s="7" t="s">
        <v>46</v>
      </c>
      <c r="B58" s="8" t="s">
        <v>57</v>
      </c>
      <c r="C58" s="8"/>
      <c r="D58" s="8"/>
      <c r="E58" s="8" t="s">
        <v>56</v>
      </c>
      <c r="F58" s="8"/>
      <c r="G58" s="8"/>
      <c r="H58" s="8" t="s">
        <v>59</v>
      </c>
      <c r="I58" s="8"/>
      <c r="J58" s="8"/>
      <c r="K58" s="8" t="s">
        <v>56</v>
      </c>
      <c r="L58" s="8"/>
      <c r="M58" s="8"/>
      <c r="N58" s="8" t="s">
        <v>58</v>
      </c>
      <c r="O58" s="8"/>
      <c r="P58" s="17"/>
    </row>
    <row r="59" spans="1:16" x14ac:dyDescent="0.3">
      <c r="A59" s="15" t="s">
        <v>62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7"/>
    </row>
    <row r="60" spans="1:16" x14ac:dyDescent="0.3">
      <c r="A60" s="5" t="s">
        <v>47</v>
      </c>
      <c r="B60" s="6" t="s">
        <v>56</v>
      </c>
      <c r="C60" s="6"/>
      <c r="D60" s="6"/>
      <c r="E60" s="6" t="s">
        <v>57</v>
      </c>
      <c r="F60" s="6"/>
      <c r="G60" s="6"/>
      <c r="H60" s="6" t="s">
        <v>58</v>
      </c>
      <c r="I60" s="6"/>
      <c r="J60" s="6"/>
      <c r="K60" s="6" t="s">
        <v>57</v>
      </c>
      <c r="L60" s="6"/>
      <c r="M60" s="6"/>
      <c r="N60" s="6" t="s">
        <v>57</v>
      </c>
      <c r="O60" s="6"/>
      <c r="P60" s="17"/>
    </row>
    <row r="61" spans="1:16" x14ac:dyDescent="0.3">
      <c r="A61" s="15" t="s">
        <v>62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7"/>
    </row>
    <row r="62" spans="1:16" x14ac:dyDescent="0.3">
      <c r="A62" s="7" t="s">
        <v>49</v>
      </c>
      <c r="B62" s="8" t="s">
        <v>58</v>
      </c>
      <c r="C62" s="8"/>
      <c r="D62" s="8"/>
      <c r="E62" s="8" t="s">
        <v>56</v>
      </c>
      <c r="F62" s="8"/>
      <c r="G62" s="8"/>
      <c r="H62" s="8" t="s">
        <v>57</v>
      </c>
      <c r="I62" s="8"/>
      <c r="J62" s="8"/>
      <c r="K62" s="8" t="s">
        <v>57</v>
      </c>
      <c r="L62" s="8"/>
      <c r="M62" s="8"/>
      <c r="N62" s="8" t="s">
        <v>59</v>
      </c>
      <c r="O62" s="8"/>
      <c r="P62" s="17"/>
    </row>
    <row r="63" spans="1:16" x14ac:dyDescent="0.3">
      <c r="A63" s="7" t="s">
        <v>48</v>
      </c>
      <c r="B63" s="8" t="s">
        <v>58</v>
      </c>
      <c r="C63" s="8"/>
      <c r="D63" s="8"/>
      <c r="E63" s="8" t="s">
        <v>57</v>
      </c>
      <c r="F63" s="8"/>
      <c r="G63" s="8"/>
      <c r="H63" s="8" t="s">
        <v>58</v>
      </c>
      <c r="I63" s="8"/>
      <c r="J63" s="8"/>
      <c r="K63" s="8" t="s">
        <v>58</v>
      </c>
      <c r="L63" s="8"/>
      <c r="M63" s="8"/>
      <c r="N63" s="8" t="s">
        <v>56</v>
      </c>
      <c r="O63" s="8"/>
      <c r="P63" s="17"/>
    </row>
    <row r="64" spans="1:16" x14ac:dyDescent="0.3">
      <c r="A64" s="15" t="s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7"/>
    </row>
  </sheetData>
  <mergeCells count="3">
    <mergeCell ref="B3:N3"/>
    <mergeCell ref="A2:N2"/>
    <mergeCell ref="A1:N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</dc:creator>
  <cp:lastModifiedBy>Tarcísio Ribeiro</cp:lastModifiedBy>
  <dcterms:created xsi:type="dcterms:W3CDTF">2021-04-28T18:11:32Z</dcterms:created>
  <dcterms:modified xsi:type="dcterms:W3CDTF">2021-06-17T22:34:23Z</dcterms:modified>
</cp:coreProperties>
</file>